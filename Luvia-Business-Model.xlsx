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EX &amp; OPEX" sheetId="1" r:id="rId5"/>
    <sheet state="visible" name="Revenue Streams" sheetId="2" r:id="rId6"/>
    <sheet state="visible" name="Income Statement" sheetId="3" r:id="rId7"/>
  </sheets>
  <definedNames/>
  <calcPr/>
</workbook>
</file>

<file path=xl/sharedStrings.xml><?xml version="1.0" encoding="utf-8"?>
<sst xmlns="http://schemas.openxmlformats.org/spreadsheetml/2006/main" count="106" uniqueCount="100">
  <si>
    <t>Luvia Costs</t>
  </si>
  <si>
    <t>CAPEX Item</t>
  </si>
  <si>
    <t>Description</t>
  </si>
  <si>
    <t>One-time Cost</t>
  </si>
  <si>
    <t>OPEX Item</t>
  </si>
  <si>
    <t>Monthly Cost</t>
  </si>
  <si>
    <t>Annual Cost</t>
  </si>
  <si>
    <t>Product Development</t>
  </si>
  <si>
    <t>Diaper design, samples, material testing</t>
  </si>
  <si>
    <t>Designers</t>
  </si>
  <si>
    <t>Tooling</t>
  </si>
  <si>
    <t>Prototype tooling and fit trials</t>
  </si>
  <si>
    <t>Operations</t>
  </si>
  <si>
    <t>Dermatology Testing</t>
  </si>
  <si>
    <t>Baby-skin safety testing</t>
  </si>
  <si>
    <t>Marketing Team</t>
  </si>
  <si>
    <t>Packaging Design</t>
  </si>
  <si>
    <t>Brand and pack design</t>
  </si>
  <si>
    <t>Customer Support</t>
  </si>
  <si>
    <t>Website</t>
  </si>
  <si>
    <t>D2C store and subscription setup</t>
  </si>
  <si>
    <t>Meta / Instagram Ads</t>
  </si>
  <si>
    <t>Branding</t>
  </si>
  <si>
    <t>Product and lifestyle shoot</t>
  </si>
  <si>
    <t>Google Ads</t>
  </si>
  <si>
    <t>Legal &amp; Certification</t>
  </si>
  <si>
    <t>Trademark, compliance, documents</t>
  </si>
  <si>
    <t>Influencers</t>
  </si>
  <si>
    <t>Initial Inventory</t>
  </si>
  <si>
    <t>First production batch</t>
  </si>
  <si>
    <t>Content Creation</t>
  </si>
  <si>
    <t>Launch Setup</t>
  </si>
  <si>
    <t>Warehouse setup and launch materials</t>
  </si>
  <si>
    <t>Developers</t>
  </si>
  <si>
    <t>Total CAPEX</t>
  </si>
  <si>
    <t>Accounting &amp; Legal</t>
  </si>
  <si>
    <t>Warehouse</t>
  </si>
  <si>
    <t>Shipping Support</t>
  </si>
  <si>
    <t>Total OPEX</t>
  </si>
  <si>
    <t>Luvia Revenue Streams</t>
  </si>
  <si>
    <t>Revenue Source</t>
  </si>
  <si>
    <t>Customers / Orders / Brands</t>
  </si>
  <si>
    <t>Avg Revenue / Order</t>
  </si>
  <si>
    <t>Monthly Revenue</t>
  </si>
  <si>
    <t>Share</t>
  </si>
  <si>
    <t>Diaper packs</t>
  </si>
  <si>
    <t>Individual pack purchases</t>
  </si>
  <si>
    <t>Monthly subscriptions</t>
  </si>
  <si>
    <t>Recurring diaper bundle</t>
  </si>
  <si>
    <t>Amazon</t>
  </si>
  <si>
    <t>Marketplace orders</t>
  </si>
  <si>
    <t>D2C website</t>
  </si>
  <si>
    <t>Direct online orders</t>
  </si>
  <si>
    <t>Pharmacies</t>
  </si>
  <si>
    <t>Retail pharmacy orders</t>
  </si>
  <si>
    <t>Baby stores</t>
  </si>
  <si>
    <t>Specialty baby retail</t>
  </si>
  <si>
    <t>Sponsorships</t>
  </si>
  <si>
    <t>Brands Coupon partnerships</t>
  </si>
  <si>
    <t>Partnerships</t>
  </si>
  <si>
    <t>Brand Products Club Partnerships</t>
  </si>
  <si>
    <t>Total Monthly Revenue</t>
  </si>
  <si>
    <t>Simple Income Statement</t>
  </si>
  <si>
    <t>Line Item</t>
  </si>
  <si>
    <t>Monthly</t>
  </si>
  <si>
    <t>Annual</t>
  </si>
  <si>
    <t>Notes</t>
  </si>
  <si>
    <t>Metric</t>
  </si>
  <si>
    <t>Value</t>
  </si>
  <si>
    <t>Comment</t>
  </si>
  <si>
    <t>Revenue</t>
  </si>
  <si>
    <t>From Revenue Streams</t>
  </si>
  <si>
    <t>Top-line run rate</t>
  </si>
  <si>
    <t>COGS</t>
  </si>
  <si>
    <t>Assume 58% of revenue for premium diaper business</t>
  </si>
  <si>
    <t>Gross Margin</t>
  </si>
  <si>
    <t>Before OPEX</t>
  </si>
  <si>
    <t>Gross Profit</t>
  </si>
  <si>
    <t>Revenue minus COGS</t>
  </si>
  <si>
    <t>Monthly EBITDA</t>
  </si>
  <si>
    <t>Operating profitability</t>
  </si>
  <si>
    <t>Gross Margin %</t>
  </si>
  <si>
    <t>Gross profit divided by revenue</t>
  </si>
  <si>
    <t>Annual Net Income</t>
  </si>
  <si>
    <t>Final income</t>
  </si>
  <si>
    <t>OPEX</t>
  </si>
  <si>
    <t>From CAPEX &amp; OPEX sheet</t>
  </si>
  <si>
    <t>EBITDA</t>
  </si>
  <si>
    <t>Gross profit minus OPEX</t>
  </si>
  <si>
    <t>Depreciation</t>
  </si>
  <si>
    <t>Simple CAPEX depreciation over 3 years</t>
  </si>
  <si>
    <t>Line</t>
  </si>
  <si>
    <t>Tax</t>
  </si>
  <si>
    <t>25% tax only when profit is positive</t>
  </si>
  <si>
    <t>Final Net Income</t>
  </si>
  <si>
    <t>Profit after depreciation and tax</t>
  </si>
  <si>
    <t>Opening CAPEX</t>
  </si>
  <si>
    <t>One-time startup investment required</t>
  </si>
  <si>
    <t>Cash Needed Before Profit</t>
  </si>
  <si>
    <t>CAPEX plus annual loss if 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</si>
</sst>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[&gt;9999999]##\,##\,##\,##0.00;[$₹][&gt;99999]##\,##\,##0.00;[$₹]##,##0.00"/>
    <numFmt numFmtId="165" formatCode="₹ #,##,##0;[Red](₹ #,##,##0);-"/>
    <numFmt numFmtId="166" formatCode="0.0%"/>
  </numFmts>
  <fonts count="11">
    <font>
      <sz val="11.0"/>
      <color rgb="FF000000"/>
      <name val="Carlito"/>
      <scheme val="minor"/>
    </font>
    <font>
      <b/>
      <sz val="18.0"/>
      <color rgb="FFFFFFFF"/>
      <name val="Arial"/>
    </font>
    <font>
      <sz val="10.0"/>
      <color rgb="FF1F2A24"/>
      <name val="Aptos"/>
    </font>
    <font>
      <i/>
      <sz val="10.0"/>
      <color rgb="FF66756C"/>
      <name val="Aptos"/>
    </font>
    <font>
      <b/>
      <sz val="10.0"/>
      <color rgb="FFFFFFFF"/>
      <name val="Arial"/>
    </font>
    <font>
      <b/>
      <sz val="10.0"/>
      <color rgb="FFFFFFFF"/>
      <name val="Aptos"/>
    </font>
    <font>
      <color theme="1"/>
      <name val="Carlito"/>
      <scheme val="minor"/>
    </font>
    <font>
      <sz val="10.0"/>
      <color rgb="FF1F2A24"/>
      <name val="Arial"/>
    </font>
    <font>
      <sz val="10.0"/>
      <color rgb="FF0000FF"/>
      <name val="Arial"/>
    </font>
    <font>
      <sz val="10.0"/>
      <color rgb="FF0000FF"/>
      <name val="Aptos"/>
    </font>
    <font>
      <b/>
      <sz val="18.0"/>
      <color rgb="FFFFFFFF"/>
      <name val="Aptos"/>
    </font>
  </fonts>
  <fills count="7">
    <fill>
      <patternFill patternType="none"/>
    </fill>
    <fill>
      <patternFill patternType="lightGray"/>
    </fill>
    <fill>
      <patternFill patternType="solid">
        <fgColor rgb="FF26483D"/>
        <bgColor rgb="FF26483D"/>
      </patternFill>
    </fill>
    <fill>
      <patternFill patternType="solid">
        <fgColor rgb="FFFBF8F0"/>
        <bgColor rgb="FFFBF8F0"/>
      </patternFill>
    </fill>
    <fill>
      <patternFill patternType="solid">
        <fgColor rgb="FFDCE8DE"/>
        <bgColor rgb="FFDCE8DE"/>
      </patternFill>
    </fill>
    <fill>
      <patternFill patternType="solid">
        <fgColor rgb="FFFFFFFF"/>
        <bgColor rgb="FFFFFFFF"/>
      </patternFill>
    </fill>
    <fill>
      <patternFill patternType="solid">
        <fgColor rgb="FFF8F2E8"/>
        <bgColor rgb="FFF8F2E8"/>
      </patternFill>
    </fill>
  </fills>
  <borders count="3">
    <border/>
    <border>
      <left style="thin">
        <color rgb="FFD8D0C4"/>
      </left>
      <right style="thin">
        <color rgb="FFD8D0C4"/>
      </right>
      <top style="thin">
        <color rgb="FFD8D0C4"/>
      </top>
      <bottom style="thin">
        <color rgb="FFD8D0C4"/>
      </bottom>
    </border>
    <border>
      <left style="thin">
        <color rgb="FF26483D"/>
      </left>
      <right style="thin">
        <color rgb="FF26483D"/>
      </right>
      <top style="thin">
        <color rgb="FF26483D"/>
      </top>
      <bottom style="thin">
        <color rgb="FF26483D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wrapText="0"/>
    </xf>
    <xf borderId="0" fillId="4" fontId="3" numFmtId="0" xfId="0" applyAlignment="1" applyFill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1" fillId="5" fontId="7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8" numFmtId="164" xfId="0" applyAlignment="1" applyBorder="1" applyFont="1" applyNumberFormat="1">
      <alignment horizontal="center" readingOrder="0" shrinkToFit="0" vertical="center" wrapText="0"/>
    </xf>
    <xf borderId="1" fillId="5" fontId="2" numFmtId="164" xfId="0" applyAlignment="1" applyBorder="1" applyFont="1" applyNumberFormat="1">
      <alignment horizontal="center" shrinkToFit="0" vertical="center" wrapText="0"/>
    </xf>
    <xf borderId="1" fillId="5" fontId="9" numFmtId="164" xfId="0" applyAlignment="1" applyBorder="1" applyFont="1" applyNumberFormat="1">
      <alignment horizontal="center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vertical="center"/>
    </xf>
    <xf borderId="2" fillId="2" fontId="4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/>
    </xf>
    <xf borderId="0" fillId="2" fontId="10" numFmtId="0" xfId="0" applyAlignment="1" applyFon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1" fillId="5" fontId="8" numFmtId="3" xfId="0" applyAlignment="1" applyBorder="1" applyFont="1" applyNumberFormat="1">
      <alignment horizontal="center" readingOrder="0" shrinkToFit="0" vertical="center" wrapText="0"/>
    </xf>
    <xf borderId="1" fillId="5" fontId="8" numFmtId="165" xfId="0" applyAlignment="1" applyBorder="1" applyFont="1" applyNumberFormat="1">
      <alignment horizontal="center" readingOrder="0" shrinkToFit="0" vertical="center" wrapText="0"/>
    </xf>
    <xf borderId="1" fillId="5" fontId="2" numFmtId="164" xfId="0" applyAlignment="1" applyBorder="1" applyFont="1" applyNumberFormat="1">
      <alignment horizontal="center" shrinkToFit="0" vertical="center" wrapText="0"/>
    </xf>
    <xf borderId="1" fillId="5" fontId="2" numFmtId="166" xfId="0" applyAlignment="1" applyBorder="1" applyFont="1" applyNumberFormat="1">
      <alignment horizontal="center" shrinkToFit="0" vertical="center" wrapText="0"/>
    </xf>
    <xf borderId="2" fillId="2" fontId="5" numFmtId="164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164" xfId="0" applyAlignment="1" applyBorder="1" applyFont="1" applyNumberFormat="1">
      <alignment horizontal="center" shrinkToFit="0" vertical="center" wrapText="0"/>
    </xf>
    <xf borderId="1" fillId="5" fontId="7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6" fontId="2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CAPEX &amp; OPEX-style">
      <tableStyleElement dxfId="1" type="headerRow"/>
      <tableStyleElement dxfId="2" type="firstRowStripe"/>
      <tableStyleElement dxfId="3" type="secondRowStripe"/>
    </tableStyle>
    <tableStyle count="3" pivot="0" name="CAPEX &amp; OPEX-style 2">
      <tableStyleElement dxfId="1" type="headerRow"/>
      <tableStyleElement dxfId="2" type="firstRowStripe"/>
      <tableStyleElement dxfId="3" type="secondRowStripe"/>
    </tableStyle>
    <tableStyle count="3" pivot="0" name="Revenue Strea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OPEX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Pt>
            <c:idx val="7"/>
            <c:spPr>
              <a:solidFill>
                <a:srgbClr val="F09C70"/>
              </a:solidFill>
            </c:spPr>
          </c:dPt>
          <c:dPt>
            <c:idx val="8"/>
            <c:spPr>
              <a:solidFill>
                <a:srgbClr val="5E9766"/>
              </a:solidFill>
            </c:spPr>
          </c:dPt>
          <c:dPt>
            <c:idx val="9"/>
            <c:spPr>
              <a:solidFill>
                <a:srgbClr val="57BBE2"/>
              </a:solidFill>
            </c:spPr>
          </c:dPt>
          <c:dPt>
            <c:idx val="10"/>
            <c:spPr>
              <a:solidFill>
                <a:srgbClr val="BD6BB3"/>
              </a:solidFill>
            </c:spPr>
          </c:dPt>
          <c:dPt>
            <c:idx val="11"/>
            <c:spPr>
              <a:solidFill>
                <a:srgbClr val="83C16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'CAPEX &amp; OPEX'!$E$5:$E$16</c:f>
            </c:strRef>
          </c:cat>
          <c:val>
            <c:numRef>
              <c:f>'CAPEX &amp; OPEX'!$F$5:$F$16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Pt>
            <c:idx val="7"/>
            <c:spPr>
              <a:solidFill>
                <a:srgbClr val="F09C7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'Revenue Streams'!$A$5:$A$12</c:f>
            </c:strRef>
          </c:cat>
          <c:val>
            <c:numRef>
              <c:f>'Revenue Streams'!$E$5:$E$12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to EBITDA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Monthly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'Income Statement'!$F$12:$F$14</c:f>
            </c:strRef>
          </c:cat>
          <c:val>
            <c:numRef>
              <c:f>'Income Statement'!$G$12:$G$14</c:f>
              <c:numCache/>
            </c:numRef>
          </c:val>
        </c:ser>
        <c:axId val="1418783689"/>
        <c:axId val="1913627006"/>
      </c:barChart>
      <c:catAx>
        <c:axId val="1418783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627006"/>
      </c:catAx>
      <c:valAx>
        <c:axId val="1913627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₹ #,##,##0;[Red](₹ #,##,##0);-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78368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10153650" cy="3400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0</xdr:rowOff>
    </xdr:from>
    <xdr:ext cx="10210800" cy="3600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15</xdr:row>
      <xdr:rowOff>0</xdr:rowOff>
    </xdr:from>
    <xdr:ext cx="3943350" cy="3200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C15" displayName="Table_1" name="Table_1" id="1">
  <tableColumns count="3">
    <tableColumn name="CAPEX Item" id="1"/>
    <tableColumn name="Description" id="2"/>
    <tableColumn name="One-time Cost" id="3"/>
  </tableColumns>
  <tableStyleInfo name="CAPEX &amp; OPEX-style" showColumnStripes="0" showFirstColumn="1" showLastColumn="1" showRowStripes="1"/>
</table>
</file>

<file path=xl/tables/table2.xml><?xml version="1.0" encoding="utf-8"?>
<table xmlns="http://schemas.openxmlformats.org/spreadsheetml/2006/main" ref="E4:G17" displayName="Table_2" name="Table_2" id="2">
  <tableColumns count="3">
    <tableColumn name="OPEX Item" id="1"/>
    <tableColumn name="Monthly Cost" id="2"/>
    <tableColumn name="Annual Cost" id="3"/>
  </tableColumns>
  <tableStyleInfo name="CAPEX &amp; OPEX-style 2" showColumnStripes="0" showFirstColumn="1" showLastColumn="1" showRowStripes="1"/>
</table>
</file>

<file path=xl/tables/table3.xml><?xml version="1.0" encoding="utf-8"?>
<table xmlns="http://schemas.openxmlformats.org/spreadsheetml/2006/main" ref="A4:F13" displayName="Table_3" name="Table_3" id="3">
  <tableColumns count="6">
    <tableColumn name="Revenue Source" id="1"/>
    <tableColumn name="Description" id="2"/>
    <tableColumn name="Customers / Orders / Brands" id="3"/>
    <tableColumn name="Avg Revenue / Order" id="4"/>
    <tableColumn name="Monthly Revenue" id="5"/>
    <tableColumn name="Share" id="6"/>
  </tableColumns>
  <tableStyleInfo name="Revenue Str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2" width="37.75"/>
    <col customWidth="1" min="3" max="3" width="16.63"/>
    <col customWidth="1" min="4" max="4" width="3.38"/>
    <col customWidth="1" min="5" max="5" width="21.13"/>
    <col customWidth="1" min="6" max="7" width="16.63"/>
    <col customWidth="1" min="8" max="26" width="8.63"/>
  </cols>
  <sheetData>
    <row r="1" ht="28.5" customHeight="1">
      <c r="A1" s="1" t="s">
        <v>0</v>
      </c>
      <c r="H1" s="2"/>
      <c r="I1" s="2"/>
      <c r="J1" s="2"/>
      <c r="K1" s="2"/>
    </row>
    <row r="2">
      <c r="A2" s="3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2.5" customHeight="1">
      <c r="A4" s="4" t="s">
        <v>1</v>
      </c>
      <c r="B4" s="5" t="s">
        <v>2</v>
      </c>
      <c r="C4" s="5" t="s">
        <v>3</v>
      </c>
      <c r="D4" s="6"/>
      <c r="E4" s="5" t="s">
        <v>4</v>
      </c>
      <c r="F4" s="5" t="s">
        <v>5</v>
      </c>
      <c r="G4" s="4" t="s">
        <v>6</v>
      </c>
      <c r="H4" s="6"/>
      <c r="I4" s="6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3.0" customHeight="1">
      <c r="A5" s="8" t="s">
        <v>7</v>
      </c>
      <c r="B5" s="9" t="s">
        <v>8</v>
      </c>
      <c r="C5" s="10">
        <v>800000.0</v>
      </c>
      <c r="D5" s="2"/>
      <c r="E5" s="8" t="s">
        <v>9</v>
      </c>
      <c r="F5" s="10">
        <v>20000.0</v>
      </c>
      <c r="G5" s="11">
        <f t="shared" ref="G5:G16" si="1">F5*12</f>
        <v>240000</v>
      </c>
      <c r="H5" s="2"/>
      <c r="I5" s="2"/>
      <c r="J5" s="2"/>
      <c r="K5" s="2"/>
    </row>
    <row r="6" ht="33.0" customHeight="1">
      <c r="A6" s="9" t="s">
        <v>10</v>
      </c>
      <c r="B6" s="9" t="s">
        <v>11</v>
      </c>
      <c r="C6" s="10">
        <v>700000.0</v>
      </c>
      <c r="D6" s="2"/>
      <c r="E6" s="9" t="s">
        <v>12</v>
      </c>
      <c r="F6" s="10">
        <v>50000.0</v>
      </c>
      <c r="G6" s="11">
        <f t="shared" si="1"/>
        <v>600000</v>
      </c>
      <c r="H6" s="2"/>
      <c r="I6" s="2"/>
      <c r="J6" s="2"/>
      <c r="K6" s="2"/>
    </row>
    <row r="7" ht="33.0" customHeight="1">
      <c r="A7" s="8" t="s">
        <v>13</v>
      </c>
      <c r="B7" s="9" t="s">
        <v>14</v>
      </c>
      <c r="C7" s="10">
        <v>300000.0</v>
      </c>
      <c r="D7" s="2"/>
      <c r="E7" s="8" t="s">
        <v>15</v>
      </c>
      <c r="F7" s="10">
        <v>25000.0</v>
      </c>
      <c r="G7" s="11">
        <f t="shared" si="1"/>
        <v>300000</v>
      </c>
      <c r="H7" s="2"/>
      <c r="I7" s="2"/>
      <c r="J7" s="2"/>
      <c r="K7" s="2"/>
    </row>
    <row r="8" ht="33.0" customHeight="1">
      <c r="A8" s="8" t="s">
        <v>16</v>
      </c>
      <c r="B8" s="9" t="s">
        <v>17</v>
      </c>
      <c r="C8" s="10">
        <v>200000.0</v>
      </c>
      <c r="D8" s="2"/>
      <c r="E8" s="8" t="s">
        <v>18</v>
      </c>
      <c r="F8" s="10">
        <v>30000.0</v>
      </c>
      <c r="G8" s="11">
        <f t="shared" si="1"/>
        <v>360000</v>
      </c>
      <c r="H8" s="2"/>
      <c r="I8" s="2"/>
      <c r="J8" s="2"/>
      <c r="K8" s="2"/>
    </row>
    <row r="9" ht="33.0" customHeight="1">
      <c r="A9" s="9" t="s">
        <v>19</v>
      </c>
      <c r="B9" s="9" t="s">
        <v>20</v>
      </c>
      <c r="C9" s="10">
        <v>200000.0</v>
      </c>
      <c r="D9" s="2"/>
      <c r="E9" s="8" t="s">
        <v>21</v>
      </c>
      <c r="F9" s="10">
        <v>20000.0</v>
      </c>
      <c r="G9" s="11">
        <f t="shared" si="1"/>
        <v>240000</v>
      </c>
      <c r="H9" s="2"/>
      <c r="I9" s="2"/>
      <c r="J9" s="2"/>
      <c r="K9" s="2"/>
    </row>
    <row r="10" ht="33.0" customHeight="1">
      <c r="A10" s="8" t="s">
        <v>22</v>
      </c>
      <c r="B10" s="9" t="s">
        <v>23</v>
      </c>
      <c r="C10" s="10">
        <v>100000.0</v>
      </c>
      <c r="D10" s="2"/>
      <c r="E10" s="8" t="s">
        <v>24</v>
      </c>
      <c r="F10" s="10">
        <v>20000.0</v>
      </c>
      <c r="G10" s="11">
        <f t="shared" si="1"/>
        <v>240000</v>
      </c>
      <c r="H10" s="2"/>
      <c r="I10" s="2"/>
      <c r="J10" s="2"/>
      <c r="K10" s="2"/>
    </row>
    <row r="11" ht="33.0" customHeight="1">
      <c r="A11" s="8" t="s">
        <v>25</v>
      </c>
      <c r="B11" s="9" t="s">
        <v>26</v>
      </c>
      <c r="C11" s="10">
        <v>500000.0</v>
      </c>
      <c r="D11" s="2"/>
      <c r="E11" s="9" t="s">
        <v>27</v>
      </c>
      <c r="F11" s="10">
        <v>40000.0</v>
      </c>
      <c r="G11" s="11">
        <f t="shared" si="1"/>
        <v>480000</v>
      </c>
      <c r="H11" s="2"/>
      <c r="I11" s="2"/>
      <c r="J11" s="2"/>
      <c r="K11" s="2"/>
    </row>
    <row r="12" ht="33.0" customHeight="1">
      <c r="A12" s="8" t="s">
        <v>28</v>
      </c>
      <c r="B12" s="9" t="s">
        <v>29</v>
      </c>
      <c r="C12" s="12">
        <v>2500000.0</v>
      </c>
      <c r="D12" s="2"/>
      <c r="E12" s="8" t="s">
        <v>30</v>
      </c>
      <c r="F12" s="10">
        <v>25000.0</v>
      </c>
      <c r="G12" s="11">
        <f t="shared" si="1"/>
        <v>300000</v>
      </c>
      <c r="H12" s="2"/>
      <c r="I12" s="2"/>
      <c r="J12" s="2"/>
      <c r="K12" s="2"/>
    </row>
    <row r="13" ht="33.0" customHeight="1">
      <c r="A13" s="8" t="s">
        <v>31</v>
      </c>
      <c r="B13" s="9" t="s">
        <v>32</v>
      </c>
      <c r="C13" s="10">
        <v>200000.0</v>
      </c>
      <c r="D13" s="2"/>
      <c r="E13" s="8" t="s">
        <v>33</v>
      </c>
      <c r="F13" s="10">
        <v>30000.0</v>
      </c>
      <c r="G13" s="11">
        <f t="shared" si="1"/>
        <v>360000</v>
      </c>
      <c r="H13" s="2"/>
      <c r="I13" s="2"/>
      <c r="J13" s="2"/>
      <c r="K13" s="2"/>
    </row>
    <row r="14" ht="30.75" customHeight="1">
      <c r="A14" s="6"/>
      <c r="B14" s="13" t="s">
        <v>34</v>
      </c>
      <c r="C14" s="14">
        <f>SUM(C5:C13)</f>
        <v>5500000</v>
      </c>
      <c r="D14" s="2"/>
      <c r="E14" s="8" t="s">
        <v>35</v>
      </c>
      <c r="F14" s="10">
        <v>5000.0</v>
      </c>
      <c r="G14" s="11">
        <f t="shared" si="1"/>
        <v>60000</v>
      </c>
      <c r="H14" s="2"/>
      <c r="I14" s="2"/>
      <c r="J14" s="2"/>
      <c r="K14" s="2"/>
    </row>
    <row r="15" ht="30.75" customHeight="1">
      <c r="A15" s="6"/>
      <c r="B15" s="6"/>
      <c r="C15" s="6"/>
      <c r="D15" s="6"/>
      <c r="E15" s="9" t="s">
        <v>36</v>
      </c>
      <c r="F15" s="10">
        <v>100000.0</v>
      </c>
      <c r="G15" s="11">
        <f t="shared" si="1"/>
        <v>1200000</v>
      </c>
      <c r="H15" s="6"/>
      <c r="I15" s="6"/>
      <c r="J15" s="6"/>
      <c r="K15" s="6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30.75" customHeight="1">
      <c r="A16" s="2"/>
      <c r="B16" s="2"/>
      <c r="C16" s="2"/>
      <c r="D16" s="2"/>
      <c r="E16" s="8" t="s">
        <v>37</v>
      </c>
      <c r="F16" s="10">
        <v>50000.0</v>
      </c>
      <c r="G16" s="11">
        <f t="shared" si="1"/>
        <v>600000</v>
      </c>
      <c r="H16" s="2"/>
      <c r="I16" s="2"/>
      <c r="J16" s="2"/>
      <c r="K16" s="2"/>
    </row>
    <row r="17" ht="33.75" customHeight="1">
      <c r="A17" s="2"/>
      <c r="B17" s="2"/>
      <c r="C17" s="2"/>
      <c r="D17" s="2"/>
      <c r="E17" s="16" t="s">
        <v>38</v>
      </c>
      <c r="F17" s="14">
        <f t="shared" ref="F17:G17" si="2">SUM(F5:F16)</f>
        <v>415000</v>
      </c>
      <c r="G17" s="14">
        <f t="shared" si="2"/>
        <v>4980000</v>
      </c>
      <c r="H17" s="2"/>
      <c r="I17" s="2"/>
      <c r="J17" s="2"/>
      <c r="K17" s="2"/>
    </row>
    <row r="18" ht="31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</row>
  </sheetData>
  <mergeCells count="2">
    <mergeCell ref="A1:G1"/>
    <mergeCell ref="A2:F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38"/>
    <col customWidth="1" min="2" max="2" width="35.5"/>
    <col customWidth="1" min="3" max="3" width="25.0"/>
    <col customWidth="1" min="4" max="4" width="25.38"/>
    <col customWidth="1" min="5" max="6" width="17.75"/>
    <col customWidth="1" min="7" max="26" width="8.63"/>
  </cols>
  <sheetData>
    <row r="1" ht="28.5" customHeight="1">
      <c r="A1" s="18" t="s">
        <v>39</v>
      </c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9"/>
      <c r="G2" s="6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75" customHeight="1">
      <c r="A4" s="5" t="s">
        <v>40</v>
      </c>
      <c r="B4" s="5" t="s">
        <v>2</v>
      </c>
      <c r="C4" s="4" t="s">
        <v>41</v>
      </c>
      <c r="D4" s="5" t="s">
        <v>42</v>
      </c>
      <c r="E4" s="5" t="s">
        <v>43</v>
      </c>
      <c r="F4" s="5" t="s">
        <v>44</v>
      </c>
      <c r="G4" s="6"/>
      <c r="H4" s="6"/>
      <c r="I4" s="6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75" customHeight="1">
      <c r="A5" s="9" t="s">
        <v>45</v>
      </c>
      <c r="B5" s="9" t="s">
        <v>46</v>
      </c>
      <c r="C5" s="20">
        <v>500.0</v>
      </c>
      <c r="D5" s="21">
        <v>2280.0</v>
      </c>
      <c r="E5" s="22">
        <f t="shared" ref="E5:E12" si="1">C5*D5</f>
        <v>1140000</v>
      </c>
      <c r="F5" s="23">
        <f t="shared" ref="F5:F12" si="2">E5/$E$13</f>
        <v>0.2365145228</v>
      </c>
      <c r="G5" s="6"/>
      <c r="H5" s="6"/>
      <c r="I5" s="6"/>
      <c r="J5" s="6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75" customHeight="1">
      <c r="A6" s="9" t="s">
        <v>47</v>
      </c>
      <c r="B6" s="9" t="s">
        <v>48</v>
      </c>
      <c r="C6" s="20">
        <v>350.0</v>
      </c>
      <c r="D6" s="21">
        <v>5000.0</v>
      </c>
      <c r="E6" s="22">
        <f t="shared" si="1"/>
        <v>1750000</v>
      </c>
      <c r="F6" s="23">
        <f t="shared" si="2"/>
        <v>0.3630705394</v>
      </c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75" customHeight="1">
      <c r="A7" s="9" t="s">
        <v>49</v>
      </c>
      <c r="B7" s="9" t="s">
        <v>50</v>
      </c>
      <c r="C7" s="20">
        <v>200.0</v>
      </c>
      <c r="D7" s="21">
        <v>2100.0</v>
      </c>
      <c r="E7" s="22">
        <f t="shared" si="1"/>
        <v>420000</v>
      </c>
      <c r="F7" s="23">
        <f t="shared" si="2"/>
        <v>0.08713692946</v>
      </c>
      <c r="G7" s="6"/>
      <c r="H7" s="6"/>
      <c r="I7" s="6"/>
      <c r="J7" s="6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75" customHeight="1">
      <c r="A8" s="9" t="s">
        <v>51</v>
      </c>
      <c r="B8" s="9" t="s">
        <v>52</v>
      </c>
      <c r="C8" s="20">
        <v>200.0</v>
      </c>
      <c r="D8" s="21">
        <v>2300.0</v>
      </c>
      <c r="E8" s="22">
        <f t="shared" si="1"/>
        <v>460000</v>
      </c>
      <c r="F8" s="23">
        <f t="shared" si="2"/>
        <v>0.09543568465</v>
      </c>
      <c r="G8" s="6"/>
      <c r="H8" s="6"/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75" customHeight="1">
      <c r="A9" s="9" t="s">
        <v>53</v>
      </c>
      <c r="B9" s="9" t="s">
        <v>54</v>
      </c>
      <c r="C9" s="20">
        <v>200.0</v>
      </c>
      <c r="D9" s="21">
        <v>2000.0</v>
      </c>
      <c r="E9" s="22">
        <f t="shared" si="1"/>
        <v>400000</v>
      </c>
      <c r="F9" s="23">
        <f t="shared" si="2"/>
        <v>0.08298755187</v>
      </c>
      <c r="G9" s="6"/>
      <c r="H9" s="6"/>
      <c r="I9" s="6"/>
      <c r="J9" s="6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75" customHeight="1">
      <c r="A10" s="9" t="s">
        <v>55</v>
      </c>
      <c r="B10" s="9" t="s">
        <v>56</v>
      </c>
      <c r="C10" s="20">
        <v>200.0</v>
      </c>
      <c r="D10" s="21">
        <v>2000.0</v>
      </c>
      <c r="E10" s="22">
        <f t="shared" si="1"/>
        <v>400000</v>
      </c>
      <c r="F10" s="23">
        <f t="shared" si="2"/>
        <v>0.08298755187</v>
      </c>
      <c r="G10" s="6"/>
      <c r="H10" s="6"/>
      <c r="I10" s="6"/>
      <c r="J10" s="6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75" customHeight="1">
      <c r="A11" s="8" t="s">
        <v>57</v>
      </c>
      <c r="B11" s="8" t="s">
        <v>58</v>
      </c>
      <c r="C11" s="20">
        <v>5.0</v>
      </c>
      <c r="D11" s="21">
        <v>50000.0</v>
      </c>
      <c r="E11" s="22">
        <f t="shared" si="1"/>
        <v>250000</v>
      </c>
      <c r="F11" s="23">
        <f t="shared" si="2"/>
        <v>0.05186721992</v>
      </c>
      <c r="G11" s="6"/>
      <c r="H11" s="6"/>
      <c r="I11" s="6"/>
      <c r="J11" s="6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75" customHeight="1">
      <c r="A12" s="8" t="s">
        <v>59</v>
      </c>
      <c r="B12" s="8" t="s">
        <v>60</v>
      </c>
      <c r="C12" s="20">
        <v>5.0</v>
      </c>
      <c r="D12" s="21">
        <v>50000.0</v>
      </c>
      <c r="E12" s="22">
        <f t="shared" si="1"/>
        <v>250000</v>
      </c>
      <c r="F12" s="23">
        <f t="shared" si="2"/>
        <v>0.05186721992</v>
      </c>
      <c r="G12" s="6"/>
      <c r="H12" s="6"/>
      <c r="I12" s="6"/>
      <c r="J12" s="6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5.5" customHeight="1">
      <c r="A13" s="6"/>
      <c r="B13" s="6"/>
      <c r="C13" s="6"/>
      <c r="D13" s="13" t="s">
        <v>61</v>
      </c>
      <c r="E13" s="24">
        <f>SUM(E4:E11)</f>
        <v>4820000</v>
      </c>
      <c r="F13" s="6"/>
      <c r="G13" s="6"/>
      <c r="H13" s="6"/>
      <c r="I13" s="6"/>
      <c r="J13" s="6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63"/>
    <col customWidth="1" min="2" max="3" width="18.88"/>
    <col customWidth="1" min="4" max="4" width="40.0"/>
    <col customWidth="1" min="5" max="5" width="8.63"/>
    <col customWidth="1" min="6" max="6" width="14.88"/>
    <col customWidth="1" min="7" max="7" width="19.38"/>
    <col customWidth="1" min="8" max="8" width="20.25"/>
    <col customWidth="1" min="9" max="26" width="8.63"/>
  </cols>
  <sheetData>
    <row r="1" ht="28.5" customHeight="1">
      <c r="A1" s="18" t="s">
        <v>62</v>
      </c>
      <c r="G1" s="6"/>
      <c r="H1" s="6"/>
      <c r="I1" s="6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9"/>
      <c r="G2" s="6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75" customHeight="1">
      <c r="A4" s="25" t="s">
        <v>63</v>
      </c>
      <c r="B4" s="25" t="s">
        <v>64</v>
      </c>
      <c r="C4" s="25" t="s">
        <v>65</v>
      </c>
      <c r="D4" s="25" t="s">
        <v>66</v>
      </c>
      <c r="E4" s="6"/>
      <c r="F4" s="25" t="s">
        <v>67</v>
      </c>
      <c r="G4" s="25" t="s">
        <v>68</v>
      </c>
      <c r="H4" s="25" t="s">
        <v>69</v>
      </c>
      <c r="I4" s="6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3.75" customHeight="1">
      <c r="A5" s="26" t="s">
        <v>70</v>
      </c>
      <c r="B5" s="27">
        <f>'Revenue Streams'!E13</f>
        <v>4820000</v>
      </c>
      <c r="C5" s="27">
        <f>B5*12</f>
        <v>57840000</v>
      </c>
      <c r="D5" s="28" t="s">
        <v>71</v>
      </c>
      <c r="E5" s="6"/>
      <c r="F5" s="26" t="s">
        <v>43</v>
      </c>
      <c r="G5" s="27">
        <f>B5</f>
        <v>4820000</v>
      </c>
      <c r="H5" s="26" t="s">
        <v>72</v>
      </c>
      <c r="I5" s="6"/>
      <c r="J5" s="6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3.75" customHeight="1">
      <c r="A6" s="26" t="s">
        <v>73</v>
      </c>
      <c r="B6" s="27">
        <f t="shared" ref="B6:C6" si="1">B5*52%</f>
        <v>2506400</v>
      </c>
      <c r="C6" s="27">
        <f t="shared" si="1"/>
        <v>30076800</v>
      </c>
      <c r="D6" s="26" t="s">
        <v>74</v>
      </c>
      <c r="E6" s="6"/>
      <c r="F6" s="26" t="s">
        <v>75</v>
      </c>
      <c r="G6" s="27">
        <f>B8</f>
        <v>0.48</v>
      </c>
      <c r="H6" s="26" t="s">
        <v>76</v>
      </c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3.75" customHeight="1">
      <c r="A7" s="26" t="s">
        <v>77</v>
      </c>
      <c r="B7" s="27">
        <f t="shared" ref="B7:C7" si="2">B5-B6</f>
        <v>2313600</v>
      </c>
      <c r="C7" s="27">
        <f t="shared" si="2"/>
        <v>27763200</v>
      </c>
      <c r="D7" s="26" t="s">
        <v>78</v>
      </c>
      <c r="E7" s="6"/>
      <c r="F7" s="26" t="s">
        <v>79</v>
      </c>
      <c r="G7" s="27">
        <f>B10</f>
        <v>1898600</v>
      </c>
      <c r="H7" s="26" t="s">
        <v>80</v>
      </c>
      <c r="I7" s="6"/>
      <c r="J7" s="6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3.75" customHeight="1">
      <c r="A8" s="26" t="s">
        <v>81</v>
      </c>
      <c r="B8" s="27">
        <f>B7/B5</f>
        <v>0.48</v>
      </c>
      <c r="C8" s="27">
        <f>B8</f>
        <v>0.48</v>
      </c>
      <c r="D8" s="26" t="s">
        <v>82</v>
      </c>
      <c r="E8" s="6"/>
      <c r="F8" s="26" t="s">
        <v>83</v>
      </c>
      <c r="G8" s="27">
        <f>C13</f>
        <v>15712400</v>
      </c>
      <c r="H8" s="26" t="s">
        <v>84</v>
      </c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75" customHeight="1">
      <c r="A9" s="26" t="s">
        <v>85</v>
      </c>
      <c r="B9" s="27">
        <f>'CAPEX &amp; OPEX'!F17</f>
        <v>415000</v>
      </c>
      <c r="C9" s="27">
        <f>'CAPEX &amp; OPEX'!G17</f>
        <v>4980000</v>
      </c>
      <c r="D9" s="26" t="s">
        <v>86</v>
      </c>
      <c r="E9" s="6"/>
      <c r="F9" s="6"/>
      <c r="G9" s="6"/>
      <c r="H9" s="6"/>
      <c r="I9" s="6"/>
      <c r="J9" s="6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75" customHeight="1">
      <c r="A10" s="29" t="s">
        <v>87</v>
      </c>
      <c r="B10" s="30">
        <f t="shared" ref="B10:C10" si="3">B7-B9</f>
        <v>1898600</v>
      </c>
      <c r="C10" s="30">
        <f t="shared" si="3"/>
        <v>22783200</v>
      </c>
      <c r="D10" s="26" t="s">
        <v>88</v>
      </c>
      <c r="E10" s="6"/>
      <c r="F10" s="6"/>
      <c r="G10" s="6"/>
      <c r="H10" s="6"/>
      <c r="I10" s="6"/>
      <c r="J10" s="6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75" customHeight="1">
      <c r="A11" s="26" t="s">
        <v>89</v>
      </c>
      <c r="B11" s="27">
        <f>'CAPEX &amp; OPEX'!C14/36</f>
        <v>152777.7778</v>
      </c>
      <c r="C11" s="27">
        <f>'CAPEX &amp; OPEX'!C14/3</f>
        <v>1833333.333</v>
      </c>
      <c r="D11" s="26" t="s">
        <v>90</v>
      </c>
      <c r="E11" s="6"/>
      <c r="F11" s="25" t="s">
        <v>91</v>
      </c>
      <c r="G11" s="25" t="s">
        <v>64</v>
      </c>
      <c r="H11" s="6"/>
      <c r="I11" s="6"/>
      <c r="J11" s="6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75" customHeight="1">
      <c r="A12" s="26" t="s">
        <v>92</v>
      </c>
      <c r="B12" s="27">
        <f t="shared" ref="B12:C12" si="4">IF(B10-B11&gt;0,(B10-B11)*25%,0)</f>
        <v>436455.5556</v>
      </c>
      <c r="C12" s="27">
        <f t="shared" si="4"/>
        <v>5237466.667</v>
      </c>
      <c r="D12" s="26" t="s">
        <v>93</v>
      </c>
      <c r="E12" s="6"/>
      <c r="F12" s="26" t="s">
        <v>70</v>
      </c>
      <c r="G12" s="27">
        <f>B5</f>
        <v>4820000</v>
      </c>
      <c r="H12" s="6"/>
      <c r="I12" s="6"/>
      <c r="J12" s="6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75" customHeight="1">
      <c r="A13" s="13" t="s">
        <v>94</v>
      </c>
      <c r="B13" s="24">
        <f t="shared" ref="B13:C13" si="5">B10-B11-B12</f>
        <v>1309366.667</v>
      </c>
      <c r="C13" s="24">
        <f t="shared" si="5"/>
        <v>15712400</v>
      </c>
      <c r="D13" s="26" t="s">
        <v>95</v>
      </c>
      <c r="E13" s="6"/>
      <c r="F13" s="26" t="s">
        <v>77</v>
      </c>
      <c r="G13" s="27">
        <f>B7</f>
        <v>2313600</v>
      </c>
      <c r="H13" s="6"/>
      <c r="I13" s="6"/>
      <c r="J13" s="6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75" customHeight="1">
      <c r="A14" s="26" t="s">
        <v>96</v>
      </c>
      <c r="B14" s="27">
        <f>'CAPEX &amp; OPEX'!C14</f>
        <v>5500000</v>
      </c>
      <c r="C14" s="27">
        <f t="shared" ref="C14:C15" si="6">B14</f>
        <v>5500000</v>
      </c>
      <c r="D14" s="26" t="s">
        <v>97</v>
      </c>
      <c r="E14" s="6"/>
      <c r="F14" s="26" t="s">
        <v>87</v>
      </c>
      <c r="G14" s="27">
        <f>B10</f>
        <v>1898600</v>
      </c>
      <c r="H14" s="6"/>
      <c r="I14" s="6"/>
      <c r="J14" s="6"/>
      <c r="K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3.75" customHeight="1">
      <c r="A15" s="26" t="s">
        <v>98</v>
      </c>
      <c r="B15" s="27">
        <f>B14+IF(C13&lt;0,-C13,0)</f>
        <v>5500000</v>
      </c>
      <c r="C15" s="27">
        <f t="shared" si="6"/>
        <v>5500000</v>
      </c>
      <c r="D15" s="26" t="s">
        <v>99</v>
      </c>
      <c r="E15" s="6"/>
      <c r="F15" s="6"/>
      <c r="G15" s="6"/>
      <c r="H15" s="6"/>
      <c r="I15" s="6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